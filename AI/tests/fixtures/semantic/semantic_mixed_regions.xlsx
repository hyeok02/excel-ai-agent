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f25769558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예산 검토" sheetId="1" r:id="R830a570d7e434b07"/>
    <x:sheet xmlns:r="http://schemas.openxmlformats.org/officeDocument/2006/relationships" name="사용안내" sheetId="2" r:id="R0713e60395ca42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 원&quot;"/>
    <x:numFmt numFmtId="201" formatCode="0.0%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i/>
      <x:sz val="11"/>
      <x:color rgb="FF52606D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F2937"/>
      <x:name val="Aptos"/>
    </x:font>
    <x:font>
      <x:b/>
      <x:sz val="11"/>
      <x:name val="Aptos"/>
    </x:font>
    <x:font>
      <x:i/>
      <x:sz val="11"/>
      <x:color rgb="FF52606D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FFDF3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E2F0D9"/>
      </x:patternFill>
    </x:fill>
    <x:fill>
      <x:patternFill patternType="solid">
        <x:fgColor rgb="FFF1F8ED"/>
      </x:patternFill>
    </x:fill>
    <x:fill>
      <x:patternFill patternType="solid">
        <x:fgColor rgb="FFF3F6F9"/>
      </x:patternFill>
    </x:fill>
  </x:fills>
  <x:borders count="25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right style="thin">
        <x:color rgb="FFE6D98C"/>
      </x:right>
      <x:bottom style="thin">
        <x:color rgb="FFE6D98C"/>
      </x:bottom>
    </x:border>
    <x:border>
      <x:left style="thin">
        <x:color rgb="FFE6D98C"/>
      </x:left>
      <x:bottom style="thin">
        <x:color rgb="FFE6D98C"/>
      </x:bottom>
    </x:border>
    <x:border>
      <x:right style="thin">
        <x:color rgb="FFE6D98C"/>
      </x:right>
      <x:top style="thin">
        <x:color rgb="FFE6D98C"/>
      </x:top>
      <x:bottom style="thin">
        <x:color rgb="FFE6D98C"/>
      </x:bottom>
    </x:border>
    <x:border>
      <x:left style="thin">
        <x:color rgb="FFE6D98C"/>
      </x:left>
      <x:top style="thin">
        <x:color rgb="FFE6D98C"/>
      </x:top>
      <x:bottom style="thin">
        <x:color rgb="FFE6D98C"/>
      </x:bottom>
    </x:border>
    <x:border>
      <x:right style="thin">
        <x:color rgb="FFE6D98C"/>
      </x:right>
      <x:top style="thin">
        <x:color rgb="FFE6D98C"/>
      </x:top>
    </x:border>
    <x:border>
      <x:left style="thin">
        <x:color rgb="FFE6D98C"/>
      </x:left>
      <x:top style="thin">
        <x:color rgb="FFE6D98C"/>
      </x:top>
    </x:border>
    <x:border>
      <x:right style="thin">
        <x:color rgb="FFC6D4E1"/>
      </x:right>
      <x:bottom style="thin">
        <x:color rgb="FFC6D4E1"/>
      </x:bottom>
    </x:border>
    <x:border>
      <x:left style="thin">
        <x:color rgb="FFC6D4E1"/>
      </x:left>
      <x:bottom style="thin">
        <x:color rgb="FFC6D4E1"/>
      </x:bottom>
    </x:border>
    <x:border>
      <x:right style="thin">
        <x:color rgb="FFC6D4E1"/>
      </x:right>
      <x:top style="thin">
        <x:color rgb="FFC6D4E1"/>
      </x:top>
      <x:bottom style="thin">
        <x:color rgb="FFC6D4E1"/>
      </x:bottom>
    </x:border>
    <x:border>
      <x:left style="thin">
        <x:color rgb="FFC6D4E1"/>
      </x:left>
      <x:top style="thin">
        <x:color rgb="FFC6D4E1"/>
      </x:top>
      <x:bottom style="thin">
        <x:color rgb="FFC6D4E1"/>
      </x:bottom>
    </x:border>
    <x:border>
      <x:right style="thin">
        <x:color rgb="FFC6D4E1"/>
      </x:right>
      <x:top style="thin">
        <x:color rgb="FFC6D4E1"/>
      </x:top>
    </x:border>
    <x:border>
      <x:left style="thin">
        <x:color rgb="FFC6D4E1"/>
      </x:left>
      <x:top style="thin">
        <x:color rgb="FFC6D4E1"/>
      </x:top>
    </x:border>
    <x:border>
      <x:left style="thin">
        <x:color rgb="FFA9C89B"/>
      </x:left>
      <x:top style="thin">
        <x:color rgb="FFA9C89B"/>
      </x:top>
      <x:bottom style="thin">
        <x:color rgb="FFA9C89B"/>
      </x:bottom>
    </x:border>
    <x:border>
      <x:right style="thin">
        <x:color rgb="FFA9C89B"/>
      </x:right>
      <x:top style="thin">
        <x:color rgb="FFA9C89B"/>
      </x:top>
      <x:bottom style="thin">
        <x:color rgb="FFA9C89B"/>
      </x:bottom>
    </x:border>
    <x:border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top style="thin">
        <x:color rgb="FFD7DEE7"/>
      </x:top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200" fontId="0" fillId="4" borderId="3" xfId="0" applyNumberFormat="1" applyFont="1" applyFill="1" applyBorder="1"/>
    <x:xf numFmtId="201" fontId="0" fillId="4" borderId="5" xfId="0" applyNumberFormat="1" applyFont="1" applyFill="1" applyBorder="1"/>
    <x:xf numFmtId="200" fontId="0" fillId="4" borderId="7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200" fontId="0" fillId="6" borderId="9" xfId="0" applyNumberFormat="1" applyFont="1" applyFill="1" applyBorder="1"/>
    <x:xf numFmtId="200" fontId="0" fillId="6" borderId="11" xfId="0" applyNumberFormat="1" applyFont="1" applyFill="1" applyBorder="1"/>
    <x:xf numFmtId="201" fontId="0" fillId="6" borderId="13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3" fillId="8" borderId="0" xfId="0" applyNumberFormat="1" applyFont="1" applyFill="1" applyBorder="1"/>
    <x:xf numFmtId="0" fontId="3" fillId="8" borderId="14" xfId="0" applyNumberFormat="1" applyFont="1" applyFill="1" applyBorder="1"/>
    <x:xf numFmtId="0" fontId="3" fillId="8" borderId="15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6" fillId="4" borderId="2" xfId="0" applyNumberFormat="1" applyFont="1" applyFill="1" applyBorder="1"/>
    <x:xf numFmtId="200" fontId="6" fillId="4" borderId="3" xfId="0" applyNumberFormat="1" applyFont="1" applyFill="1" applyBorder="1"/>
    <x:xf numFmtId="0" fontId="6" fillId="6" borderId="8" xfId="0" applyNumberFormat="1" applyFont="1" applyFill="1" applyBorder="1"/>
    <x:xf numFmtId="200" fontId="6" fillId="6" borderId="9" xfId="0" applyNumberFormat="1" applyFont="1" applyFill="1" applyBorder="1"/>
    <x:xf numFmtId="0" fontId="6" fillId="4" borderId="4" xfId="0" applyNumberFormat="1" applyFont="1" applyFill="1" applyBorder="1"/>
    <x:xf numFmtId="201" fontId="6" fillId="4" borderId="5" xfId="0" applyNumberFormat="1" applyFont="1" applyFill="1" applyBorder="1"/>
    <x:xf numFmtId="0" fontId="6" fillId="6" borderId="10" xfId="0" applyNumberFormat="1" applyFont="1" applyFill="1" applyBorder="1"/>
    <x:xf numFmtId="200" fontId="6" fillId="6" borderId="11" xfId="0" applyNumberFormat="1" applyFont="1" applyFill="1" applyBorder="1"/>
    <x:xf numFmtId="0" fontId="6" fillId="4" borderId="6" xfId="0" applyNumberFormat="1" applyFont="1" applyFill="1" applyBorder="1"/>
    <x:xf numFmtId="200" fontId="6" fillId="4" borderId="7" xfId="0" applyNumberFormat="1" applyFont="1" applyFill="1" applyBorder="1"/>
    <x:xf numFmtId="0" fontId="6" fillId="6" borderId="12" xfId="0" applyNumberFormat="1" applyFont="1" applyFill="1" applyBorder="1"/>
    <x:xf numFmtId="201" fontId="6" fillId="6" borderId="13" xfId="0" applyNumberFormat="1" applyFont="1" applyFill="1" applyBorder="1"/>
    <x:xf numFmtId="0" fontId="7" fillId="7" borderId="1" xfId="0" applyNumberFormat="1" applyFont="1" applyFill="1" applyBorder="1" applyAlignment="1">
      <x:alignment horizontal="center" vertical="center"/>
    </x:xf>
    <x:xf numFmtId="0" fontId="6" fillId="8" borderId="14" xfId="0" applyNumberFormat="1" applyFont="1" applyFill="1" applyBorder="1"/>
    <x:xf numFmtId="0" fontId="6" fillId="8" borderId="15" xfId="0" applyNumberFormat="1" applyFont="1" applyFill="1" applyBorder="1"/>
    <x:xf numFmtId="0" fontId="8" fillId="8" borderId="14" xfId="0" applyNumberFormat="1" applyFont="1" applyFill="1" applyBorder="1"/>
    <x:xf numFmtId="0" fontId="8" fillId="8" borderId="15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0" fillId="9" borderId="16" xfId="0" applyNumberFormat="1" applyFont="1" applyFill="1" applyBorder="1"/>
    <x:xf numFmtId="0" fontId="0" fillId="9" borderId="17" xfId="0" applyNumberFormat="1" applyFont="1" applyFill="1" applyBorder="1"/>
    <x:xf numFmtId="0" fontId="0" fillId="9" borderId="18" xfId="0" applyNumberFormat="1" applyFont="1" applyFill="1" applyBorder="1"/>
    <x:xf numFmtId="0" fontId="0" fillId="9" borderId="19" xfId="0" applyNumberFormat="1" applyFont="1" applyFill="1" applyBorder="1"/>
    <x:xf numFmtId="0" fontId="0" fillId="9" borderId="20" xfId="0" applyNumberFormat="1" applyFont="1" applyFill="1" applyBorder="1"/>
    <x:xf numFmtId="0" fontId="0" fillId="9" borderId="21" xfId="0" applyNumberFormat="1" applyFont="1" applyFill="1" applyBorder="1"/>
    <x:xf numFmtId="0" fontId="0" fillId="9" borderId="22" xfId="0" applyNumberFormat="1" applyFont="1" applyFill="1" applyBorder="1"/>
    <x:xf numFmtId="0" fontId="0" fillId="9" borderId="23" xfId="0" applyNumberFormat="1" applyFont="1" applyFill="1" applyBorder="1"/>
    <x:xf numFmtId="0" fontId="0" fillId="9" borderId="24" xfId="0" applyNumberFormat="1" applyFont="1" applyFill="1" applyBorder="1"/>
    <x:xf numFmtId="0" fontId="0" fillId="9" borderId="16" xfId="0" applyNumberFormat="1" applyFont="1" applyFill="1" applyBorder="1" applyAlignment="1">
      <x:alignment wrapText="1"/>
    </x:xf>
    <x:xf numFmtId="0" fontId="0" fillId="9" borderId="17" xfId="0" applyNumberFormat="1" applyFont="1" applyFill="1" applyBorder="1" applyAlignment="1">
      <x:alignment wrapText="1"/>
    </x:xf>
    <x:xf numFmtId="0" fontId="0" fillId="9" borderId="18" xfId="0" applyNumberFormat="1" applyFont="1" applyFill="1" applyBorder="1" applyAlignment="1">
      <x:alignment wrapText="1"/>
    </x:xf>
    <x:xf numFmtId="0" fontId="0" fillId="9" borderId="19" xfId="0" applyNumberFormat="1" applyFont="1" applyFill="1" applyBorder="1" applyAlignment="1">
      <x:alignment wrapText="1"/>
    </x:xf>
    <x:xf numFmtId="0" fontId="0" fillId="9" borderId="20" xfId="0" applyNumberFormat="1" applyFont="1" applyFill="1" applyBorder="1" applyAlignment="1">
      <x:alignment wrapText="1"/>
    </x:xf>
    <x:xf numFmtId="0" fontId="0" fillId="9" borderId="21" xfId="0" applyNumberFormat="1" applyFont="1" applyFill="1" applyBorder="1" applyAlignment="1">
      <x:alignment wrapText="1"/>
    </x:xf>
    <x:xf numFmtId="0" fontId="0" fillId="9" borderId="22" xfId="0" applyNumberFormat="1" applyFont="1" applyFill="1" applyBorder="1" applyAlignment="1">
      <x:alignment wrapText="1"/>
    </x:xf>
    <x:xf numFmtId="0" fontId="0" fillId="9" borderId="23" xfId="0" applyNumberFormat="1" applyFont="1" applyFill="1" applyBorder="1" applyAlignment="1">
      <x:alignment wrapText="1"/>
    </x:xf>
    <x:xf numFmtId="0" fontId="0" fillId="9" borderId="24" xfId="0" applyNumberFormat="1" applyFont="1" applyFill="1" applyBorder="1" applyAlignment="1">
      <x:alignment wrapText="1"/>
    </x:xf>
    <x:xf numFmtId="0" fontId="6" fillId="9" borderId="16" xfId="0" applyNumberFormat="1" applyFont="1" applyFill="1" applyBorder="1" applyAlignment="1">
      <x:alignment wrapText="1"/>
    </x:xf>
    <x:xf numFmtId="0" fontId="6" fillId="9" borderId="17" xfId="0" applyNumberFormat="1" applyFont="1" applyFill="1" applyBorder="1" applyAlignment="1">
      <x:alignment wrapText="1"/>
    </x:xf>
    <x:xf numFmtId="0" fontId="6" fillId="9" borderId="18" xfId="0" applyNumberFormat="1" applyFont="1" applyFill="1" applyBorder="1" applyAlignment="1">
      <x:alignment wrapText="1"/>
    </x:xf>
    <x:xf numFmtId="0" fontId="6" fillId="9" borderId="19" xfId="0" applyNumberFormat="1" applyFont="1" applyFill="1" applyBorder="1" applyAlignment="1">
      <x:alignment wrapText="1"/>
    </x:xf>
    <x:xf numFmtId="0" fontId="6" fillId="9" borderId="20" xfId="0" applyNumberFormat="1" applyFont="1" applyFill="1" applyBorder="1" applyAlignment="1">
      <x:alignment wrapText="1"/>
    </x:xf>
    <x:xf numFmtId="0" fontId="6" fillId="9" borderId="21" xfId="0" applyNumberFormat="1" applyFont="1" applyFill="1" applyBorder="1" applyAlignment="1">
      <x:alignment wrapText="1"/>
    </x:xf>
    <x:xf numFmtId="0" fontId="6" fillId="9" borderId="22" xfId="0" applyNumberFormat="1" applyFont="1" applyFill="1" applyBorder="1" applyAlignment="1">
      <x:alignment wrapText="1"/>
    </x:xf>
    <x:xf numFmtId="0" fontId="6" fillId="9" borderId="23" xfId="0" applyNumberFormat="1" applyFont="1" applyFill="1" applyBorder="1" applyAlignment="1">
      <x:alignment wrapText="1"/>
    </x:xf>
    <x:xf numFmtId="0" fontId="6" fillId="9" borderId="2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5f68d0d454d8c" /><Relationship Type="http://schemas.openxmlformats.org/officeDocument/2006/relationships/theme" Target="/xl/theme/theme1.xml" Id="Rc175264414bc4dae" /><Relationship Type="http://schemas.openxmlformats.org/officeDocument/2006/relationships/sharedStrings" Target="/xl/sharedStrings.xml" Id="R21f20d6518604baf" /><Relationship Type="http://schemas.openxmlformats.org/officeDocument/2006/relationships/worksheet" Target="/xl/worksheets/sheet1.xml" Id="R830a570d7e434b07" /><Relationship Type="http://schemas.openxmlformats.org/officeDocument/2006/relationships/worksheet" Target="/xl/worksheets/sheet2.xml" Id="R0713e60395ca42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5" hidden="0" customWidth="1"/>
    <x:col min="4" max="4" width="18" hidden="0" customWidth="1"/>
    <x:col min="5" max="5" width="22" hidden="0" customWidth="1"/>
    <x:col min="6" max="6" width="5" hidden="0" customWidth="1"/>
  </x:cols>
  <x:sheetData>
    <x:row r="1" ht="30" customHeight="1">
      <x:c r="A1" s="49" t="str">
        <x:v>신규 사업 예산 검토</x:v>
      </x:c>
      <x:c r="B1" s="49"/>
      <x:c r="C1" s="49"/>
      <x:c r="D1" s="49"/>
      <x:c r="E1" s="49"/>
      <x:c r="F1" s="49"/>
    </x:row>
    <x:row r="2">
      <x:c r="A2" s="50"/>
      <x:c r="B2" s="50"/>
      <x:c r="C2" s="50"/>
      <x:c r="D2" s="50"/>
      <x:c r="E2" s="50"/>
      <x:c r="F2" s="50"/>
    </x:row>
    <x:row r="3">
      <x:c r="A3" s="51" t="str">
        <x:v>사용자 입력</x:v>
      </x:c>
      <x:c r="B3" s="51"/>
      <x:c r="C3" s="50"/>
      <x:c r="D3" s="52" t="str">
        <x:v>계산 결과</x:v>
      </x:c>
      <x:c r="E3" s="52"/>
      <x:c r="F3" s="50"/>
    </x:row>
    <x:row r="4">
      <x:c r="A4" s="53" t="str">
        <x:v>예상 매출</x:v>
      </x:c>
      <x:c r="B4" s="54" t="n">
        <x:v>85000000</x:v>
      </x:c>
      <x:c r="C4" s="50"/>
      <x:c r="D4" s="55" t="str">
        <x:v>변동비</x:v>
      </x:c>
      <x:c r="E4" s="56" t="n">
        <x:f>B4*B5</x:f>
        <x:v>32300000</x:v>
      </x:c>
      <x:c r="F4" s="50"/>
    </x:row>
    <x:row r="5">
      <x:c r="A5" s="57" t="str">
        <x:v>변동비율</x:v>
      </x:c>
      <x:c r="B5" s="58" t="n">
        <x:v>0.38</x:v>
      </x:c>
      <x:c r="C5" s="50"/>
      <x:c r="D5" s="59" t="str">
        <x:v>총비용</x:v>
      </x:c>
      <x:c r="E5" s="60" t="n">
        <x:f>E4+B6</x:f>
        <x:v>59300000</x:v>
      </x:c>
      <x:c r="F5" s="50"/>
    </x:row>
    <x:row r="6">
      <x:c r="A6" s="61" t="str">
        <x:v>고정비</x:v>
      </x:c>
      <x:c r="B6" s="62" t="n">
        <x:v>27000000</x:v>
      </x:c>
      <x:c r="C6" s="50"/>
      <x:c r="D6" s="59" t="str">
        <x:v>영업이익</x:v>
      </x:c>
      <x:c r="E6" s="60" t="n">
        <x:f>B4-E5</x:f>
        <x:v>25700000</x:v>
      </x:c>
      <x:c r="F6" s="50"/>
    </x:row>
    <x:row r="7">
      <x:c r="A7" s="50"/>
      <x:c r="B7" s="50"/>
      <x:c r="C7" s="50"/>
      <x:c r="D7" s="63" t="str">
        <x:v>이익률</x:v>
      </x:c>
      <x:c r="E7" s="64" t="n">
        <x:f>E6/B4</x:f>
        <x:v>0.3023529411764706</x:v>
      </x:c>
      <x:c r="F7" s="50"/>
    </x:row>
    <x:row r="8">
      <x:c r="A8" s="50"/>
      <x:c r="B8" s="50"/>
      <x:c r="C8" s="50"/>
      <x:c r="D8" s="50"/>
      <x:c r="E8" s="50"/>
      <x:c r="F8" s="50"/>
    </x:row>
    <x:row r="9">
      <x:c r="A9" s="65" t="str">
        <x:v>의사결정 요약</x:v>
      </x:c>
      <x:c r="B9" s="65"/>
      <x:c r="C9" s="65"/>
      <x:c r="D9" s="65"/>
      <x:c r="E9" s="65"/>
      <x:c r="F9" s="65"/>
    </x:row>
    <x:row r="10">
      <x:c r="A10" s="66" t="str">
        <x:v>판단 기준</x:v>
      </x:c>
      <x:c r="B10" s="67" t="str">
        <x:v>영업이익이 20,000,000원 이상</x:v>
      </x:c>
      <x:c r="C10" s="50"/>
      <x:c r="D10" s="68" t="str">
        <x:v>판정</x:v>
      </x:c>
      <x:c r="E10" s="69" t="str">
        <x:f>IF(E6&gt;=20000000,"검토 통과","재검토")</x:f>
        <x:v>검토 통과</x:v>
      </x:c>
      <x:c r="F10" s="50"/>
    </x:row>
    <x:row r="11">
      <x:c r="A11" s="50"/>
      <x:c r="B11" s="50"/>
      <x:c r="C11" s="50"/>
      <x:c r="D11" s="50"/>
      <x:c r="E11" s="50"/>
      <x:c r="F11" s="50"/>
    </x:row>
    <x:row r="12">
      <x:c r="A12" s="70" t="str">
        <x:v>주의: 예상 매출과 비용 가정이 변경되면 결과가 자동으로 갱신됩니다.</x:v>
      </x:c>
      <x:c r="B12" s="70"/>
      <x:c r="C12" s="70"/>
      <x:c r="D12" s="70"/>
      <x:c r="E12" s="70"/>
      <x:c r="F12" s="70"/>
    </x:row>
  </x:sheetData>
  <x:mergeCells>
    <x:mergeCell ref="A1:F1"/>
    <x:mergeCell ref="A3:B3"/>
    <x:mergeCell ref="D3:E3"/>
    <x:mergeCell ref="A9:F9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4" hidden="0" customWidth="1"/>
    <x:col min="4" max="4" width="24" hidden="0" customWidth="1"/>
  </x:cols>
  <x:sheetData>
    <x:row r="1" ht="30" customHeight="1">
      <x:c r="A1" s="49" t="str">
        <x:v>워크북 사용안내</x:v>
      </x:c>
      <x:c r="B1" s="49"/>
      <x:c r="C1" s="49"/>
      <x:c r="D1" s="49"/>
    </x:row>
    <x:row r="2">
      <x:c r="A2" s="50"/>
      <x:c r="B2" s="50"/>
      <x:c r="C2" s="50"/>
      <x:c r="D2" s="50"/>
    </x:row>
    <x:row r="3">
      <x:c r="A3" s="89" t="str">
        <x:v>1</x:v>
      </x:c>
      <x:c r="B3" s="90" t="str">
        <x:v>입력</x:v>
      </x:c>
      <x:c r="C3" s="90" t="str">
        <x:v>예산 검토 시트의 노란색 셀만 수정</x:v>
      </x:c>
      <x:c r="D3" s="91"/>
    </x:row>
    <x:row r="4">
      <x:c r="A4" s="92" t="str">
        <x:v>2</x:v>
      </x:c>
      <x:c r="B4" s="93" t="str">
        <x:v>계산</x:v>
      </x:c>
      <x:c r="C4" s="93" t="str">
        <x:v>계산 결과 영역은 수식으로 자동 갱신</x:v>
      </x:c>
      <x:c r="D4" s="94"/>
    </x:row>
    <x:row r="5">
      <x:c r="A5" s="95" t="str">
        <x:v>3</x:v>
      </x:c>
      <x:c r="B5" s="96" t="str">
        <x:v>판정</x:v>
      </x:c>
      <x:c r="C5" s="96" t="str">
        <x:v>의사결정 요약의 판정 결과 확인</x:v>
      </x:c>
      <x:c r="D5" s="97"/>
    </x:row>
  </x:sheetData>
  <x:mergeCells>
    <x:mergeCell ref="A1:D1"/>
  </x:mergeCells>
  <x:pageMargins left="0.7" right="0.7" top="0.75" bottom="0.75" header="0.3" footer="0.3"/>
</x:worksheet>
</file>